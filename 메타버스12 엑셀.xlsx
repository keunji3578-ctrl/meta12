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esktop\"/>
    </mc:Choice>
  </mc:AlternateContent>
  <bookViews>
    <workbookView xWindow="0" yWindow="0" windowWidth="28800" windowHeight="12285" activeTab="3"/>
  </bookViews>
  <sheets>
    <sheet name="가계부" sheetId="1" r:id="rId1"/>
    <sheet name="캘린더" sheetId="2" r:id="rId2"/>
    <sheet name="성적표" sheetId="3" r:id="rId3"/>
    <sheet name="직원명단관리표" sheetId="4" r:id="rId4"/>
  </sheets>
  <definedNames>
    <definedName name="_xlnm._FilterDatabase" localSheetId="3" hidden="1">직원명단관리표!$A$3:$E$13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3" l="1"/>
  <c r="E12" i="3"/>
  <c r="C12" i="3"/>
  <c r="C11" i="3"/>
  <c r="C10" i="3"/>
  <c r="D11" i="3"/>
  <c r="E11" i="3"/>
  <c r="D10" i="3"/>
  <c r="E10" i="3"/>
  <c r="F5" i="3"/>
  <c r="G5" i="3" s="1"/>
  <c r="F6" i="3"/>
  <c r="G6" i="3" s="1"/>
  <c r="F7" i="3"/>
  <c r="F8" i="3"/>
  <c r="G7" i="3"/>
  <c r="G8" i="3"/>
  <c r="G4" i="3"/>
  <c r="F4" i="3"/>
  <c r="D9" i="1" l="1"/>
  <c r="D10" i="1" s="1"/>
  <c r="C9" i="1"/>
  <c r="C10" i="1" l="1"/>
</calcChain>
</file>

<file path=xl/sharedStrings.xml><?xml version="1.0" encoding="utf-8"?>
<sst xmlns="http://schemas.openxmlformats.org/spreadsheetml/2006/main" count="90" uniqueCount="87">
  <si>
    <t>나의가계부</t>
    <phoneticPr fontId="2" type="noConversion"/>
  </si>
  <si>
    <t>날짜</t>
    <phoneticPr fontId="2" type="noConversion"/>
  </si>
  <si>
    <t>항목</t>
    <phoneticPr fontId="2" type="noConversion"/>
  </si>
  <si>
    <t>수입</t>
    <phoneticPr fontId="2" type="noConversion"/>
  </si>
  <si>
    <t>지출</t>
    <phoneticPr fontId="2" type="noConversion"/>
  </si>
  <si>
    <t>월급</t>
    <phoneticPr fontId="2" type="noConversion"/>
  </si>
  <si>
    <t>식비</t>
    <phoneticPr fontId="2" type="noConversion"/>
  </si>
  <si>
    <t>교통비</t>
    <phoneticPr fontId="2" type="noConversion"/>
  </si>
  <si>
    <t>부수입</t>
    <phoneticPr fontId="2" type="noConversion"/>
  </si>
  <si>
    <t>통신비</t>
    <phoneticPr fontId="2" type="noConversion"/>
  </si>
  <si>
    <t xml:space="preserve"> </t>
    <phoneticPr fontId="2" type="noConversion"/>
  </si>
  <si>
    <t>잔액</t>
    <phoneticPr fontId="2" type="noConversion"/>
  </si>
  <si>
    <t>일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</si>
  <si>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</si>
  <si>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</si>
  <si>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</si>
  <si>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</si>
  <si>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</si>
  <si>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2026년1월</t>
    <phoneticPr fontId="2" type="noConversion"/>
  </si>
  <si>
    <t>월</t>
    <phoneticPr fontId="2" type="noConversion"/>
  </si>
  <si>
    <t>1
신년</t>
    <phoneticPr fontId="2" type="noConversion"/>
  </si>
  <si>
    <t>2
휴강</t>
    <phoneticPr fontId="2" type="noConversion"/>
  </si>
  <si>
    <t>5
HTML</t>
    <phoneticPr fontId="2" type="noConversion"/>
  </si>
  <si>
    <t>6
HTML</t>
  </si>
  <si>
    <t>7
CSS</t>
    <phoneticPr fontId="2" type="noConversion"/>
  </si>
  <si>
    <t>8
CSS</t>
  </si>
  <si>
    <t>9
CSS</t>
  </si>
  <si>
    <t>12
CSS</t>
    <phoneticPr fontId="2" type="noConversion"/>
  </si>
  <si>
    <t>14
javascript</t>
    <phoneticPr fontId="2" type="noConversion"/>
  </si>
  <si>
    <t>15
javascript</t>
  </si>
  <si>
    <t>16
javascript</t>
  </si>
  <si>
    <t>19
javascript</t>
    <phoneticPr fontId="2" type="noConversion"/>
  </si>
  <si>
    <t>20
javascript</t>
  </si>
  <si>
    <t>21
개인웹
페이지만들기</t>
    <phoneticPr fontId="2" type="noConversion"/>
  </si>
  <si>
    <t>22
개인웹
페이지만들기</t>
  </si>
  <si>
    <t>23
개인웹
페이지만들기</t>
  </si>
  <si>
    <t>26
과정마무리테스트</t>
    <phoneticPr fontId="2" type="noConversion"/>
  </si>
  <si>
    <t>13
개인웹페이지설계</t>
    <phoneticPr fontId="2" type="noConversion"/>
  </si>
  <si>
    <t>2024학년도 2학기 성적표</t>
    <phoneticPr fontId="2" type="noConversion"/>
  </si>
  <si>
    <t>이름</t>
    <phoneticPr fontId="2" type="noConversion"/>
  </si>
  <si>
    <t>국어</t>
    <phoneticPr fontId="2" type="noConversion"/>
  </si>
  <si>
    <t>영어</t>
    <phoneticPr fontId="2" type="noConversion"/>
  </si>
  <si>
    <t>수학</t>
    <phoneticPr fontId="2" type="noConversion"/>
  </si>
  <si>
    <t>총점</t>
    <phoneticPr fontId="2" type="noConversion"/>
  </si>
  <si>
    <t>평균</t>
    <phoneticPr fontId="2" type="noConversion"/>
  </si>
  <si>
    <t>번호</t>
    <phoneticPr fontId="2" type="noConversion"/>
  </si>
  <si>
    <t>김민수</t>
    <phoneticPr fontId="2" type="noConversion"/>
  </si>
  <si>
    <t>이지은</t>
    <phoneticPr fontId="2" type="noConversion"/>
  </si>
  <si>
    <t>박철수</t>
    <phoneticPr fontId="2" type="noConversion"/>
  </si>
  <si>
    <t>정수진</t>
    <phoneticPr fontId="2" type="noConversion"/>
  </si>
  <si>
    <t>최영호</t>
    <phoneticPr fontId="2" type="noConversion"/>
  </si>
  <si>
    <t>최고점</t>
    <phoneticPr fontId="2" type="noConversion"/>
  </si>
  <si>
    <t>최저점</t>
    <phoneticPr fontId="2" type="noConversion"/>
  </si>
  <si>
    <t>평균</t>
    <phoneticPr fontId="2" type="noConversion"/>
  </si>
  <si>
    <t>직원명단</t>
    <phoneticPr fontId="2" type="noConversion"/>
  </si>
  <si>
    <t>사번</t>
    <phoneticPr fontId="2" type="noConversion"/>
  </si>
  <si>
    <t>이름</t>
    <phoneticPr fontId="2" type="noConversion"/>
  </si>
  <si>
    <t>부서</t>
    <phoneticPr fontId="2" type="noConversion"/>
  </si>
  <si>
    <t>입사일</t>
    <phoneticPr fontId="2" type="noConversion"/>
  </si>
  <si>
    <t>김민수</t>
    <phoneticPr fontId="2" type="noConversion"/>
  </si>
  <si>
    <t>이지은</t>
    <phoneticPr fontId="2" type="noConversion"/>
  </si>
  <si>
    <t>박철수</t>
    <phoneticPr fontId="2" type="noConversion"/>
  </si>
  <si>
    <t>정수진</t>
    <phoneticPr fontId="2" type="noConversion"/>
  </si>
  <si>
    <t>최영호</t>
    <phoneticPr fontId="2" type="noConversion"/>
  </si>
  <si>
    <t>강미래</t>
    <phoneticPr fontId="2" type="noConversion"/>
  </si>
  <si>
    <t>윤서준</t>
    <phoneticPr fontId="2" type="noConversion"/>
  </si>
  <si>
    <t>한수희</t>
    <phoneticPr fontId="2" type="noConversion"/>
  </si>
  <si>
    <t>김민수</t>
    <phoneticPr fontId="2" type="noConversion"/>
  </si>
  <si>
    <t>장민혁</t>
    <phoneticPr fontId="2" type="noConversion"/>
  </si>
  <si>
    <t>영업팀</t>
    <phoneticPr fontId="2" type="noConversion"/>
  </si>
  <si>
    <t>기획팀</t>
    <phoneticPr fontId="2" type="noConversion"/>
  </si>
  <si>
    <t>개발팀</t>
    <phoneticPr fontId="2" type="noConversion"/>
  </si>
  <si>
    <t>인사팀</t>
    <phoneticPr fontId="2" type="noConversion"/>
  </si>
  <si>
    <t>영업팀</t>
    <phoneticPr fontId="2" type="noConversion"/>
  </si>
  <si>
    <t>대리</t>
    <phoneticPr fontId="2" type="noConversion"/>
  </si>
  <si>
    <t>과장</t>
    <phoneticPr fontId="2" type="noConversion"/>
  </si>
  <si>
    <t>사원</t>
    <phoneticPr fontId="2" type="noConversion"/>
  </si>
  <si>
    <t>차장</t>
    <phoneticPr fontId="2" type="noConversion"/>
  </si>
  <si>
    <t>대리</t>
    <phoneticPr fontId="2" type="noConversion"/>
  </si>
  <si>
    <t>사원</t>
    <phoneticPr fontId="2" type="noConversion"/>
  </si>
  <si>
    <t>차장</t>
    <phoneticPr fontId="2" type="noConversion"/>
  </si>
  <si>
    <t>과장</t>
    <phoneticPr fontId="2" type="noConversion"/>
  </si>
  <si>
    <t>직급</t>
    <phoneticPr fontId="2" type="noConversion"/>
  </si>
  <si>
    <t>영업팀</t>
    <phoneticPr fontId="2" type="noConversion"/>
  </si>
  <si>
    <t>인사팀</t>
    <phoneticPr fontId="2" type="noConversion"/>
  </si>
  <si>
    <t>대리</t>
    <phoneticPr fontId="2" type="noConversion"/>
  </si>
  <si>
    <t>차장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</si>
</sst>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mm&quot;월&quot;\ dd&quot;일&quot;"/>
    <numFmt numFmtId="177" formatCode="0_ "/>
    <numFmt numFmtId="178" formatCode="0.0_ 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8"/>
      <color theme="1"/>
      <name val="HY견고딕"/>
      <family val="1"/>
      <charset val="129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문체부 제목 돋음체"/>
      <family val="3"/>
      <charset val="129"/>
    </font>
    <font>
      <sz val="14"/>
      <color rgb="FF0070C0"/>
      <name val="문체부 제목 돋음체"/>
      <family val="3"/>
      <charset val="129"/>
    </font>
    <font>
      <sz val="14"/>
      <color theme="1"/>
      <name val="문체부 제목 돋음체"/>
      <family val="3"/>
      <charset val="129"/>
    </font>
    <font>
      <sz val="14"/>
      <color rgb="FFFF0000"/>
      <name val="문체부 제목 돋음체"/>
      <family val="3"/>
      <charset val="129"/>
    </font>
    <font>
      <b/>
      <sz val="16"/>
      <color theme="1"/>
      <name val="문체부 제목 돋음체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HY그래픽M"/>
      <family val="1"/>
      <charset val="129"/>
    </font>
    <font>
      <sz val="12"/>
      <color theme="1"/>
      <name val="돋움"/>
      <family val="3"/>
      <charset val="129"/>
    </font>
    <font>
      <sz val="16"/>
      <color theme="1"/>
      <name val="HY견고딕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2" borderId="6" xfId="1" applyFont="1" applyFill="1" applyBorder="1" applyAlignment="1">
      <alignment horizontal="center" vertical="center"/>
    </xf>
    <xf numFmtId="41" fontId="0" fillId="3" borderId="2" xfId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4" fillId="4" borderId="0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7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>
      <alignment vertical="center"/>
    </xf>
    <xf numFmtId="178" fontId="0" fillId="7" borderId="5" xfId="0" applyNumberForma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8" xfId="0" applyFill="1" applyBorder="1">
      <alignment vertical="center"/>
    </xf>
    <xf numFmtId="0" fontId="0" fillId="7" borderId="9" xfId="0" applyFill="1" applyBorder="1">
      <alignment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>
      <alignment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>
      <alignment vertical="center"/>
    </xf>
    <xf numFmtId="0" fontId="0" fillId="0" borderId="14" xfId="0" applyBorder="1" applyAlignment="1">
      <alignment horizontal="center" vertical="center"/>
    </xf>
    <xf numFmtId="177" fontId="10" fillId="9" borderId="15" xfId="0" applyNumberFormat="1" applyFont="1" applyFill="1" applyBorder="1" applyAlignment="1">
      <alignment horizontal="center" vertical="center"/>
    </xf>
    <xf numFmtId="177" fontId="10" fillId="9" borderId="16" xfId="0" applyNumberFormat="1" applyFont="1" applyFill="1" applyBorder="1" applyAlignment="1">
      <alignment horizontal="center" vertical="center"/>
    </xf>
    <xf numFmtId="177" fontId="10" fillId="9" borderId="17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78" fontId="11" fillId="0" borderId="11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8" fontId="11" fillId="0" borderId="13" xfId="0" applyNumberFormat="1" applyFont="1" applyBorder="1" applyAlignment="1">
      <alignment horizontal="center" vertical="center"/>
    </xf>
    <xf numFmtId="177" fontId="10" fillId="9" borderId="18" xfId="0" applyNumberFormat="1" applyFont="1" applyFill="1" applyBorder="1" applyAlignment="1">
      <alignment horizontal="center" vertical="center"/>
    </xf>
    <xf numFmtId="177" fontId="10" fillId="9" borderId="0" xfId="0" applyNumberFormat="1" applyFont="1" applyFill="1" applyBorder="1" applyAlignment="1">
      <alignment horizontal="center" vertical="center"/>
    </xf>
    <xf numFmtId="177" fontId="10" fillId="9" borderId="19" xfId="0" applyNumberFormat="1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EEB7EF"/>
      <color rgb="FFB381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Normal="100" workbookViewId="0">
      <selection activeCell="C21" sqref="C21"/>
    </sheetView>
  </sheetViews>
  <sheetFormatPr defaultRowHeight="16.5" x14ac:dyDescent="0.3"/>
  <cols>
    <col min="1" max="1" width="16" style="1" customWidth="1"/>
    <col min="2" max="2" width="10.5" customWidth="1"/>
    <col min="3" max="3" width="10.875" bestFit="1" customWidth="1"/>
    <col min="4" max="4" width="9.375" customWidth="1"/>
  </cols>
  <sheetData>
    <row r="1" spans="1:5" ht="53.25" customHeight="1" x14ac:dyDescent="0.3">
      <c r="A1" s="21" t="s">
        <v>0</v>
      </c>
      <c r="B1" s="21"/>
      <c r="C1" s="21"/>
      <c r="D1" s="22"/>
    </row>
    <row r="2" spans="1:5" x14ac:dyDescent="0.3">
      <c r="A2" s="23"/>
      <c r="B2" s="23"/>
      <c r="C2" s="23"/>
      <c r="D2" s="24"/>
    </row>
    <row r="3" spans="1:5" ht="36.75" customHeight="1" x14ac:dyDescent="0.3">
      <c r="A3" s="6" t="s">
        <v>1</v>
      </c>
      <c r="B3" s="6" t="s">
        <v>2</v>
      </c>
      <c r="C3" s="6" t="s">
        <v>3</v>
      </c>
      <c r="D3" s="6" t="s">
        <v>4</v>
      </c>
      <c r="E3" s="3"/>
    </row>
    <row r="4" spans="1:5" s="2" customFormat="1" x14ac:dyDescent="0.3">
      <c r="A4" s="4">
        <v>45992</v>
      </c>
      <c r="B4" s="5" t="s">
        <v>5</v>
      </c>
      <c r="C4" s="11">
        <v>3000000</v>
      </c>
      <c r="D4" s="11"/>
    </row>
    <row r="5" spans="1:5" s="2" customFormat="1" x14ac:dyDescent="0.3">
      <c r="A5" s="4">
        <v>45994</v>
      </c>
      <c r="B5" s="5" t="s">
        <v>6</v>
      </c>
      <c r="C5" s="11">
        <v>100000</v>
      </c>
      <c r="D5" s="11">
        <v>50000</v>
      </c>
    </row>
    <row r="6" spans="1:5" s="2" customFormat="1" x14ac:dyDescent="0.3">
      <c r="A6" s="4">
        <v>45996</v>
      </c>
      <c r="B6" s="5" t="s">
        <v>7</v>
      </c>
      <c r="C6" s="11"/>
      <c r="D6" s="11">
        <v>30000</v>
      </c>
    </row>
    <row r="7" spans="1:5" s="2" customFormat="1" x14ac:dyDescent="0.3">
      <c r="A7" s="4">
        <v>46001</v>
      </c>
      <c r="B7" s="5" t="s">
        <v>8</v>
      </c>
      <c r="C7" s="11">
        <v>200000</v>
      </c>
      <c r="D7" s="11"/>
    </row>
    <row r="8" spans="1:5" s="2" customFormat="1" ht="17.25" thickBot="1" x14ac:dyDescent="0.35">
      <c r="A8" s="9">
        <v>46006</v>
      </c>
      <c r="B8" s="10" t="s">
        <v>9</v>
      </c>
      <c r="C8" s="12"/>
      <c r="D8" s="12">
        <v>80000</v>
      </c>
    </row>
    <row r="9" spans="1:5" x14ac:dyDescent="0.3">
      <c r="A9" s="8"/>
      <c r="B9" s="8"/>
      <c r="C9" s="13">
        <f>SUM(C4:C8)</f>
        <v>3300000</v>
      </c>
      <c r="D9" s="13">
        <f>SUM(D4:D8)</f>
        <v>160000</v>
      </c>
      <c r="E9" s="1"/>
    </row>
    <row r="10" spans="1:5" x14ac:dyDescent="0.3">
      <c r="A10" s="7"/>
      <c r="B10" s="7" t="s">
        <v>11</v>
      </c>
      <c r="C10" s="14">
        <f>C9-D9</f>
        <v>3140000</v>
      </c>
      <c r="D10" s="14">
        <f>SUM(D5:D9)</f>
        <v>320000</v>
      </c>
      <c r="E10" s="1"/>
    </row>
    <row r="11" spans="1:5" x14ac:dyDescent="0.3">
      <c r="D11" s="1"/>
    </row>
    <row r="12" spans="1:5" x14ac:dyDescent="0.3">
      <c r="C12" t="s">
        <v>10</v>
      </c>
    </row>
  </sheetData>
  <mergeCells count="1">
    <mergeCell ref="A1:D2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N3" sqref="N3"/>
    </sheetView>
  </sheetViews>
  <sheetFormatPr defaultRowHeight="16.5" x14ac:dyDescent="0.3"/>
  <cols>
    <col min="1" max="7" width="12.5" customWidth="1"/>
  </cols>
  <sheetData>
    <row r="1" spans="1:7" ht="57.75" customHeight="1" x14ac:dyDescent="0.3">
      <c r="A1" s="25" t="s">
        <v>18</v>
      </c>
      <c r="B1" s="26"/>
      <c r="C1" s="26"/>
      <c r="D1" s="26"/>
      <c r="E1" s="26"/>
      <c r="F1" s="26"/>
      <c r="G1" s="26"/>
    </row>
    <row r="2" spans="1:7" ht="29.25" customHeight="1" x14ac:dyDescent="0.3">
      <c r="A2" s="15" t="s">
        <v>12</v>
      </c>
      <c r="B2" s="15" t="s">
        <v>19</v>
      </c>
      <c r="C2" s="15" t="s">
        <v>13</v>
      </c>
      <c r="D2" s="15" t="s">
        <v>14</v>
      </c>
      <c r="E2" s="15" t="s">
        <v>15</v>
      </c>
      <c r="F2" s="15" t="s">
        <v>16</v>
      </c>
      <c r="G2" s="15" t="s">
        <v>17</v>
      </c>
    </row>
    <row r="3" spans="1:7" ht="74.25" customHeight="1" x14ac:dyDescent="0.3">
      <c r="A3" s="16"/>
      <c r="B3" s="17"/>
      <c r="C3" s="17"/>
      <c r="D3" s="17"/>
      <c r="E3" s="18" t="s">
        <v>20</v>
      </c>
      <c r="F3" s="19" t="s">
        <v>21</v>
      </c>
      <c r="G3" s="20">
        <v>3</v>
      </c>
    </row>
    <row r="4" spans="1:7" ht="74.25" customHeight="1" x14ac:dyDescent="0.3">
      <c r="A4" s="16">
        <v>4</v>
      </c>
      <c r="B4" s="19" t="s">
        <v>22</v>
      </c>
      <c r="C4" s="19" t="s">
        <v>23</v>
      </c>
      <c r="D4" s="19" t="s">
        <v>24</v>
      </c>
      <c r="E4" s="19" t="s">
        <v>25</v>
      </c>
      <c r="F4" s="19" t="s">
        <v>26</v>
      </c>
      <c r="G4" s="20">
        <v>10</v>
      </c>
    </row>
    <row r="5" spans="1:7" ht="74.25" customHeight="1" x14ac:dyDescent="0.3">
      <c r="A5" s="16">
        <v>11</v>
      </c>
      <c r="B5" s="19" t="s">
        <v>27</v>
      </c>
      <c r="C5" s="19" t="s">
        <v>37</v>
      </c>
      <c r="D5" s="19" t="s">
        <v>28</v>
      </c>
      <c r="E5" s="19" t="s">
        <v>29</v>
      </c>
      <c r="F5" s="19" t="s">
        <v>30</v>
      </c>
      <c r="G5" s="20">
        <v>17</v>
      </c>
    </row>
    <row r="6" spans="1:7" ht="74.25" customHeight="1" x14ac:dyDescent="0.3">
      <c r="A6" s="16">
        <v>18</v>
      </c>
      <c r="B6" s="19" t="s">
        <v>31</v>
      </c>
      <c r="C6" s="19" t="s">
        <v>32</v>
      </c>
      <c r="D6" s="19" t="s">
        <v>33</v>
      </c>
      <c r="E6" s="19" t="s">
        <v>34</v>
      </c>
      <c r="F6" s="19" t="s">
        <v>35</v>
      </c>
      <c r="G6" s="20">
        <v>24</v>
      </c>
    </row>
    <row r="7" spans="1:7" ht="74.25" customHeight="1" x14ac:dyDescent="0.3">
      <c r="A7" s="16">
        <v>25</v>
      </c>
      <c r="B7" s="19" t="s">
        <v>36</v>
      </c>
      <c r="C7" s="17">
        <v>27</v>
      </c>
      <c r="D7" s="17">
        <v>28</v>
      </c>
      <c r="E7" s="17">
        <v>29</v>
      </c>
      <c r="F7" s="17">
        <v>30</v>
      </c>
      <c r="G7" s="20"/>
    </row>
  </sheetData>
  <mergeCells count="1">
    <mergeCell ref="A1:G1"/>
  </mergeCells>
  <phoneticPr fontId="2" type="noConversion"/>
  <conditionalFormatting sqref="G3:G7">
    <cfRule type="expression" dxfId="1" priority="3">
      <formula>G3&lt;&gt;""</formula>
    </cfRule>
  </conditionalFormatting>
  <conditionalFormatting sqref="A3:A7">
    <cfRule type="expression" dxfId="0" priority="1">
      <formula>A3&lt;&gt;""</formula>
    </cfRule>
    <cfRule type="expression" priority="2">
      <formula>A3&lt;&gt;""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F15" sqref="F15"/>
    </sheetView>
  </sheetViews>
  <sheetFormatPr defaultRowHeight="16.5" x14ac:dyDescent="0.3"/>
  <cols>
    <col min="1" max="7" width="8.375" customWidth="1"/>
  </cols>
  <sheetData>
    <row r="1" spans="1:7" ht="49.5" customHeight="1" x14ac:dyDescent="0.3">
      <c r="A1" s="44" t="s">
        <v>38</v>
      </c>
      <c r="B1" s="45"/>
      <c r="C1" s="45"/>
      <c r="D1" s="45"/>
      <c r="E1" s="45"/>
      <c r="F1" s="45"/>
      <c r="G1" s="46"/>
    </row>
    <row r="2" spans="1:7" ht="49.5" customHeight="1" thickBot="1" x14ac:dyDescent="0.35">
      <c r="A2" s="52"/>
      <c r="B2" s="53"/>
      <c r="C2" s="53"/>
      <c r="D2" s="53"/>
      <c r="E2" s="53"/>
      <c r="F2" s="53"/>
      <c r="G2" s="54"/>
    </row>
    <row r="3" spans="1:7" ht="34.5" customHeight="1" x14ac:dyDescent="0.3">
      <c r="A3" s="55" t="s">
        <v>45</v>
      </c>
      <c r="B3" s="56" t="s">
        <v>39</v>
      </c>
      <c r="C3" s="56" t="s">
        <v>40</v>
      </c>
      <c r="D3" s="56" t="s">
        <v>41</v>
      </c>
      <c r="E3" s="56" t="s">
        <v>42</v>
      </c>
      <c r="F3" s="56" t="s">
        <v>43</v>
      </c>
      <c r="G3" s="57" t="s">
        <v>44</v>
      </c>
    </row>
    <row r="4" spans="1:7" ht="34.5" customHeight="1" x14ac:dyDescent="0.3">
      <c r="A4" s="47">
        <v>1</v>
      </c>
      <c r="B4" s="27" t="s">
        <v>46</v>
      </c>
      <c r="C4" s="27">
        <v>85</v>
      </c>
      <c r="D4" s="27">
        <v>90</v>
      </c>
      <c r="E4" s="27">
        <v>78</v>
      </c>
      <c r="F4" s="27">
        <f>C4+D4+E4</f>
        <v>253</v>
      </c>
      <c r="G4" s="48">
        <f>F4/3</f>
        <v>84.333333333333329</v>
      </c>
    </row>
    <row r="5" spans="1:7" ht="34.5" customHeight="1" x14ac:dyDescent="0.3">
      <c r="A5" s="47">
        <v>2</v>
      </c>
      <c r="B5" s="27" t="s">
        <v>47</v>
      </c>
      <c r="C5" s="27">
        <v>92</v>
      </c>
      <c r="D5" s="27">
        <v>88</v>
      </c>
      <c r="E5" s="27">
        <v>95</v>
      </c>
      <c r="F5" s="27">
        <f t="shared" ref="F5:F8" si="0">C5+D5+E5</f>
        <v>275</v>
      </c>
      <c r="G5" s="48">
        <f t="shared" ref="G5:G8" si="1">F5/3</f>
        <v>91.666666666666671</v>
      </c>
    </row>
    <row r="6" spans="1:7" ht="34.5" customHeight="1" x14ac:dyDescent="0.3">
      <c r="A6" s="47">
        <v>3</v>
      </c>
      <c r="B6" s="27" t="s">
        <v>48</v>
      </c>
      <c r="C6" s="27">
        <v>84</v>
      </c>
      <c r="D6" s="27">
        <v>92</v>
      </c>
      <c r="E6" s="27">
        <v>94</v>
      </c>
      <c r="F6" s="27">
        <f t="shared" si="0"/>
        <v>270</v>
      </c>
      <c r="G6" s="48">
        <f t="shared" si="1"/>
        <v>90</v>
      </c>
    </row>
    <row r="7" spans="1:7" ht="34.5" customHeight="1" x14ac:dyDescent="0.3">
      <c r="A7" s="47">
        <v>4</v>
      </c>
      <c r="B7" s="27" t="s">
        <v>49</v>
      </c>
      <c r="C7" s="27">
        <v>88</v>
      </c>
      <c r="D7" s="27">
        <v>91</v>
      </c>
      <c r="E7" s="27">
        <v>89</v>
      </c>
      <c r="F7" s="27">
        <f t="shared" si="0"/>
        <v>268</v>
      </c>
      <c r="G7" s="48">
        <f t="shared" si="1"/>
        <v>89.333333333333329</v>
      </c>
    </row>
    <row r="8" spans="1:7" ht="34.5" customHeight="1" thickBot="1" x14ac:dyDescent="0.35">
      <c r="A8" s="49">
        <v>5</v>
      </c>
      <c r="B8" s="50" t="s">
        <v>50</v>
      </c>
      <c r="C8" s="50">
        <v>95</v>
      </c>
      <c r="D8" s="50">
        <v>85</v>
      </c>
      <c r="E8" s="50">
        <v>92</v>
      </c>
      <c r="F8" s="50">
        <f t="shared" si="0"/>
        <v>272</v>
      </c>
      <c r="G8" s="51">
        <f t="shared" si="1"/>
        <v>90.666666666666671</v>
      </c>
    </row>
    <row r="9" spans="1:7" ht="17.25" thickBot="1" x14ac:dyDescent="0.35">
      <c r="A9" s="43"/>
      <c r="B9" s="43"/>
      <c r="C9" s="43"/>
      <c r="D9" s="43"/>
      <c r="E9" s="43"/>
      <c r="F9" s="43"/>
      <c r="G9" s="43"/>
    </row>
    <row r="10" spans="1:7" ht="41.85" customHeight="1" x14ac:dyDescent="0.3">
      <c r="A10" s="34" t="s">
        <v>51</v>
      </c>
      <c r="B10" s="35"/>
      <c r="C10" s="36">
        <f>MAX(C4:C8)</f>
        <v>95</v>
      </c>
      <c r="D10" s="36">
        <f t="shared" ref="D10:E10" si="2">MAX(D4:D8)</f>
        <v>92</v>
      </c>
      <c r="E10" s="36">
        <f t="shared" si="2"/>
        <v>95</v>
      </c>
      <c r="F10" s="37"/>
      <c r="G10" s="38"/>
    </row>
    <row r="11" spans="1:7" ht="41.85" customHeight="1" x14ac:dyDescent="0.3">
      <c r="A11" s="39" t="s">
        <v>52</v>
      </c>
      <c r="B11" s="28"/>
      <c r="C11" s="29">
        <f>MIN(C4:C8)</f>
        <v>84</v>
      </c>
      <c r="D11" s="29">
        <f t="shared" ref="D11:E11" si="3">MIN(D4:D8)</f>
        <v>85</v>
      </c>
      <c r="E11" s="29">
        <f t="shared" si="3"/>
        <v>78</v>
      </c>
      <c r="F11" s="30"/>
      <c r="G11" s="40"/>
    </row>
    <row r="12" spans="1:7" ht="41.85" customHeight="1" thickBot="1" x14ac:dyDescent="0.35">
      <c r="A12" s="41" t="s">
        <v>53</v>
      </c>
      <c r="B12" s="31"/>
      <c r="C12" s="33">
        <f>AVERAGE(C10:C11)</f>
        <v>89.5</v>
      </c>
      <c r="D12" s="33">
        <f t="shared" ref="D12:E12" si="4">AVERAGE(D10:D11)</f>
        <v>88.5</v>
      </c>
      <c r="E12" s="33">
        <f t="shared" si="4"/>
        <v>86.5</v>
      </c>
      <c r="F12" s="32"/>
      <c r="G12" s="42"/>
    </row>
  </sheetData>
  <mergeCells count="5">
    <mergeCell ref="A1:G2"/>
    <mergeCell ref="A10:B10"/>
    <mergeCell ref="A11:B11"/>
    <mergeCell ref="A12:B12"/>
    <mergeCell ref="A9:G9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="160" zoomScaleNormal="160" workbookViewId="0">
      <selection activeCell="E18" sqref="E18"/>
    </sheetView>
  </sheetViews>
  <sheetFormatPr defaultRowHeight="16.5" x14ac:dyDescent="0.3"/>
  <cols>
    <col min="5" max="5" width="11.125" bestFit="1" customWidth="1"/>
  </cols>
  <sheetData>
    <row r="1" spans="1:5" ht="26.25" customHeight="1" x14ac:dyDescent="0.3">
      <c r="A1" s="58" t="s">
        <v>54</v>
      </c>
      <c r="B1" s="58"/>
      <c r="C1" s="58"/>
      <c r="D1" s="58"/>
      <c r="E1" s="58"/>
    </row>
    <row r="2" spans="1:5" ht="26.25" customHeight="1" x14ac:dyDescent="0.3">
      <c r="A2" s="58"/>
      <c r="B2" s="58"/>
      <c r="C2" s="58"/>
      <c r="D2" s="58"/>
      <c r="E2" s="58"/>
    </row>
    <row r="3" spans="1:5" ht="30.75" customHeight="1" x14ac:dyDescent="0.3">
      <c r="A3" s="59" t="s">
        <v>55</v>
      </c>
      <c r="B3" s="59" t="s">
        <v>56</v>
      </c>
      <c r="C3" s="59" t="s">
        <v>57</v>
      </c>
      <c r="D3" s="59" t="s">
        <v>82</v>
      </c>
      <c r="E3" s="59" t="s">
        <v>58</v>
      </c>
    </row>
    <row r="4" spans="1:5" x14ac:dyDescent="0.3">
      <c r="A4" s="1">
        <v>1001</v>
      </c>
      <c r="B4" s="1" t="s">
        <v>59</v>
      </c>
      <c r="C4" s="1" t="s">
        <v>73</v>
      </c>
      <c r="D4" s="1" t="s">
        <v>74</v>
      </c>
      <c r="E4" s="60">
        <v>43905</v>
      </c>
    </row>
    <row r="5" spans="1:5" x14ac:dyDescent="0.3">
      <c r="A5" s="1">
        <v>1002</v>
      </c>
      <c r="B5" s="1" t="s">
        <v>60</v>
      </c>
      <c r="C5" s="1" t="s">
        <v>70</v>
      </c>
      <c r="D5" s="1" t="s">
        <v>75</v>
      </c>
      <c r="E5" s="60">
        <v>43282</v>
      </c>
    </row>
    <row r="6" spans="1:5" x14ac:dyDescent="0.3">
      <c r="A6" s="1">
        <v>1003</v>
      </c>
      <c r="B6" s="1" t="s">
        <v>61</v>
      </c>
      <c r="C6" s="1" t="s">
        <v>71</v>
      </c>
      <c r="D6" s="1" t="s">
        <v>76</v>
      </c>
      <c r="E6" s="60">
        <v>44936</v>
      </c>
    </row>
    <row r="7" spans="1:5" x14ac:dyDescent="0.3">
      <c r="A7" s="1">
        <v>1004</v>
      </c>
      <c r="B7" s="1" t="s">
        <v>62</v>
      </c>
      <c r="C7" s="1" t="s">
        <v>69</v>
      </c>
      <c r="D7" s="1" t="s">
        <v>77</v>
      </c>
      <c r="E7" s="60">
        <v>42510</v>
      </c>
    </row>
    <row r="8" spans="1:5" x14ac:dyDescent="0.3">
      <c r="A8" s="1">
        <v>1005</v>
      </c>
      <c r="B8" s="1" t="s">
        <v>63</v>
      </c>
      <c r="C8" s="1" t="s">
        <v>72</v>
      </c>
      <c r="D8" s="1" t="s">
        <v>78</v>
      </c>
      <c r="E8" s="60">
        <v>44440</v>
      </c>
    </row>
    <row r="9" spans="1:5" x14ac:dyDescent="0.3">
      <c r="A9" s="1">
        <v>1006</v>
      </c>
      <c r="B9" s="1" t="s">
        <v>64</v>
      </c>
      <c r="C9" s="1" t="s">
        <v>71</v>
      </c>
      <c r="D9" s="1" t="s">
        <v>79</v>
      </c>
      <c r="E9" s="60">
        <v>43510</v>
      </c>
    </row>
    <row r="10" spans="1:5" x14ac:dyDescent="0.3">
      <c r="A10" s="1">
        <v>1007</v>
      </c>
      <c r="B10" s="1" t="s">
        <v>65</v>
      </c>
      <c r="C10" s="1" t="s">
        <v>70</v>
      </c>
      <c r="D10" s="1" t="s">
        <v>80</v>
      </c>
      <c r="E10" s="60">
        <v>43069</v>
      </c>
    </row>
    <row r="11" spans="1:5" x14ac:dyDescent="0.3">
      <c r="A11" s="1">
        <v>1008</v>
      </c>
      <c r="B11" s="1" t="s">
        <v>66</v>
      </c>
      <c r="C11" s="1" t="s">
        <v>84</v>
      </c>
      <c r="D11" s="1" t="s">
        <v>81</v>
      </c>
      <c r="E11" s="60">
        <v>45005</v>
      </c>
    </row>
    <row r="12" spans="1:5" x14ac:dyDescent="0.3">
      <c r="A12" s="1">
        <v>1009</v>
      </c>
      <c r="B12" s="1" t="s">
        <v>67</v>
      </c>
      <c r="C12" s="1" t="s">
        <v>83</v>
      </c>
      <c r="D12" s="1" t="s">
        <v>85</v>
      </c>
      <c r="E12" s="60">
        <v>43905</v>
      </c>
    </row>
    <row r="13" spans="1:5" x14ac:dyDescent="0.3">
      <c r="A13" s="1">
        <v>1010</v>
      </c>
      <c r="B13" s="1" t="s">
        <v>68</v>
      </c>
      <c r="C13" s="1" t="s">
        <v>70</v>
      </c>
      <c r="D13" s="1" t="s">
        <v>86</v>
      </c>
      <c r="E13" s="60">
        <v>42009</v>
      </c>
    </row>
  </sheetData>
  <autoFilter ref="A3:E13"/>
  <sortState ref="A4:E13">
    <sortCondition ref="A3"/>
  </sortState>
  <mergeCells count="1">
    <mergeCell ref="A1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가계부</vt:lpstr>
      <vt:lpstr>캘린더</vt:lpstr>
      <vt:lpstr>성적표</vt:lpstr>
      <vt:lpstr>직원명단관리표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2025-12-31T00:07:38Z</dcterms:created>
  <dcterms:modified xsi:type="dcterms:W3CDTF">2026-01-06T08:25:02Z</dcterms:modified>
</cp:coreProperties>
</file>